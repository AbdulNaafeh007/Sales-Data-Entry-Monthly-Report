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bdul Nafeh\Downloads\"/>
    </mc:Choice>
  </mc:AlternateContent>
  <xr:revisionPtr revIDLastSave="0" documentId="13_ncr:1_{57DA0411-22F4-449C-B55A-B4B10F6B2954}" xr6:coauthVersionLast="47" xr6:coauthVersionMax="47" xr10:uidLastSave="{00000000-0000-0000-0000-000000000000}"/>
  <bookViews>
    <workbookView xWindow="-120" yWindow="-120" windowWidth="20730" windowHeight="11160" tabRatio="500" activeTab="1" xr2:uid="{00000000-000D-0000-FFFF-FFFF00000000}"/>
  </bookViews>
  <sheets>
    <sheet name="Sales Entries" sheetId="1" r:id="rId1"/>
    <sheet name="Monthly 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4" i="2" l="1"/>
  <c r="B14" i="2"/>
  <c r="B5" i="2"/>
  <c r="B4" i="2"/>
  <c r="E2" i="1"/>
  <c r="E3" i="1"/>
  <c r="C19" i="2"/>
  <c r="B19" i="2"/>
  <c r="C18" i="2"/>
  <c r="B18" i="2"/>
  <c r="C17" i="2"/>
  <c r="B17" i="2"/>
  <c r="C16" i="2"/>
  <c r="B16" i="2"/>
  <c r="C15" i="2"/>
  <c r="B15" i="2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D17" i="2" s="1"/>
  <c r="E15" i="1"/>
  <c r="E14" i="1"/>
  <c r="E13" i="1"/>
  <c r="E12" i="1"/>
  <c r="E11" i="1"/>
  <c r="E10" i="1"/>
  <c r="E9" i="1"/>
  <c r="E8" i="1"/>
  <c r="E7" i="1"/>
  <c r="E6" i="1"/>
  <c r="D18" i="2" s="1"/>
  <c r="E5" i="1"/>
  <c r="D19" i="2" s="1"/>
  <c r="E4" i="1"/>
  <c r="D15" i="2" s="1"/>
  <c r="D16" i="2"/>
  <c r="B6" i="2"/>
  <c r="B7" i="2" l="1"/>
  <c r="D14" i="2"/>
  <c r="B8" i="2"/>
</calcChain>
</file>

<file path=xl/sharedStrings.xml><?xml version="1.0" encoding="utf-8"?>
<sst xmlns="http://schemas.openxmlformats.org/spreadsheetml/2006/main" count="54" uniqueCount="23">
  <si>
    <t>Date</t>
  </si>
  <si>
    <t>Product</t>
  </si>
  <si>
    <t>Quantity</t>
  </si>
  <si>
    <t>Unit Price ($)</t>
  </si>
  <si>
    <t>Total ($)</t>
  </si>
  <si>
    <t>Wireless Mouse</t>
  </si>
  <si>
    <t>Bluetooth Speaker</t>
  </si>
  <si>
    <t>USB-C Cable</t>
  </si>
  <si>
    <t>Webcam HD</t>
  </si>
  <si>
    <t>Mechanical Keyboard</t>
  </si>
  <si>
    <t>Laptop Stand</t>
  </si>
  <si>
    <t>Monthly Sales Summary</t>
  </si>
  <si>
    <t>Metric</t>
  </si>
  <si>
    <t>Value</t>
  </si>
  <si>
    <t>Total Transactions</t>
  </si>
  <si>
    <t>Total Units Sold</t>
  </si>
  <si>
    <t>Total Revenue</t>
  </si>
  <si>
    <t>Average Sale Value</t>
  </si>
  <si>
    <t>Highest Single Sale</t>
  </si>
  <si>
    <t>Sales Count by Product</t>
  </si>
  <si>
    <t>Transactions</t>
  </si>
  <si>
    <t>Units Sold</t>
  </si>
  <si>
    <t>Revenue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</si>
</sst>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$#,##0"/>
  </numFmts>
  <fonts count="7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4"/>
      <color rgb="FF1F3864"/>
      <name val="Arial"/>
      <charset val="1"/>
    </font>
    <font>
      <b/>
      <sz val="12"/>
      <color rgb="FF1F3864"/>
      <name val="Arial"/>
      <charset val="1"/>
    </font>
    <font>
      <sz val="10"/>
      <name val="Arial"/>
      <family val="2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 applyBorder="1"/>
    <xf numFmtId="0" fontId="1" fillId="2" borderId="1" xfId="0" applyFont="1" applyFill="1" applyBorder="1" applyAlignment="1">
      <alignment horizontal="center" vertical="center"/>
    </xf>
    <xf numFmtId="164" fontId="2" fillId="0" borderId="1" xfId="0" applyNumberFormat="1" applyFont="1" applyBorder="1"/>
    <xf numFmtId="0" fontId="2" fillId="0" borderId="1" xfId="0" applyFont="1" applyBorder="1"/>
    <xf numFmtId="165" fontId="2" fillId="0" borderId="1" xfId="0" applyNumberFormat="1" applyFont="1" applyBorder="1"/>
    <xf numFmtId="1" fontId="2" fillId="0" borderId="1" xfId="0" applyNumberFormat="1" applyFont="1" applyBorder="1"/>
    <xf numFmtId="0" fontId="4" fillId="0" borderId="0" xfId="0" applyFont="1"/>
    <xf numFmtId="165" fontId="5" fillId="0" borderId="1" xfId="0" applyNumberFormat="1" applyFont="1" applyBorder="1" applyAlignment="1">
      <alignment horizontal="right"/>
    </xf>
    <xf numFmtId="0" fontId="6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542288910948312"/>
          <c:y val="0.17671580883941745"/>
          <c:w val="0.65869665289320234"/>
          <c:h val="0.605860018891337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'Monthly Summary'!$D$13</c:f>
              <c:strCache>
                <c:ptCount val="1"/>
                <c:pt idx="0">
                  <c:v>Revenue ($)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PK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Summary'!$A$14:$A$19</c:f>
              <c:strCache>
                <c:ptCount val="6"/>
                <c:pt idx="0">
                  <c:v>Wireless Mouse</c:v>
                </c:pt>
                <c:pt idx="1">
                  <c:v>USB-C Cable</c:v>
                </c:pt>
                <c:pt idx="2">
                  <c:v>Bluetooth Speaker</c:v>
                </c:pt>
                <c:pt idx="3">
                  <c:v>Laptop Stand</c:v>
                </c:pt>
                <c:pt idx="4">
                  <c:v>Mechanical Keyboard</c:v>
                </c:pt>
                <c:pt idx="5">
                  <c:v>Webcam HD</c:v>
                </c:pt>
              </c:strCache>
            </c:strRef>
          </c:cat>
          <c:val>
            <c:numRef>
              <c:f>'Monthly Summary'!$D$14:$D$19</c:f>
              <c:numCache>
                <c:formatCode>\$#,##0</c:formatCode>
                <c:ptCount val="6"/>
                <c:pt idx="0">
                  <c:v>324</c:v>
                </c:pt>
                <c:pt idx="1">
                  <c:v>168</c:v>
                </c:pt>
                <c:pt idx="2">
                  <c:v>1715</c:v>
                </c:pt>
                <c:pt idx="3">
                  <c:v>44</c:v>
                </c:pt>
                <c:pt idx="4">
                  <c:v>660</c:v>
                </c:pt>
                <c:pt idx="5">
                  <c:v>1036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77-49FD-85EC-8696027C0B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4007102"/>
        <c:axId val="75867571"/>
      </c:barChart>
      <c:catAx>
        <c:axId val="9400710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Product</a:t>
                </a:r>
              </a:p>
            </c:rich>
          </c:tx>
          <c:layout>
            <c:manualLayout>
              <c:xMode val="edge"/>
              <c:yMode val="edge"/>
              <c:x val="0.43929366101599132"/>
              <c:y val="0.9090301829249470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PK"/>
          </a:p>
        </c:txPr>
        <c:crossAx val="75867571"/>
        <c:crosses val="autoZero"/>
        <c:auto val="1"/>
        <c:lblAlgn val="ctr"/>
        <c:lblOffset val="100"/>
        <c:noMultiLvlLbl val="0"/>
      </c:catAx>
      <c:valAx>
        <c:axId val="758675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PK"/>
          </a:p>
        </c:txPr>
        <c:crossAx val="9400710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PK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495300</xdr:colOff>
      <xdr:row>1</xdr:row>
      <xdr:rowOff>189135</xdr:rowOff>
    </xdr:from>
    <xdr:to>
      <xdr:col>15</xdr:col>
      <xdr:colOff>170235</xdr:colOff>
      <xdr:row>18</xdr:row>
      <xdr:rowOff>180690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zoomScaleNormal="100" workbookViewId="0">
      <pane ySplit="1" topLeftCell="A13" activePane="bottomLeft" state="frozen"/>
      <selection pane="bottomLeft" activeCell="D2" sqref="D2"/>
    </sheetView>
  </sheetViews>
  <sheetFormatPr defaultColWidth="8.7109375" defaultRowHeight="15" x14ac:dyDescent="0.25"/>
  <cols>
    <col min="1" max="1" width="12" customWidth="1"/>
    <col min="2" max="2" width="22" customWidth="1"/>
    <col min="3" max="3" width="10" customWidth="1"/>
    <col min="4" max="4" width="14" customWidth="1"/>
    <col min="5" max="5" width="12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>
        <v>46194</v>
      </c>
      <c r="B2" s="4" t="s">
        <v>5</v>
      </c>
      <c r="C2" s="4">
        <v>1</v>
      </c>
      <c r="D2" s="8">
        <v>12</v>
      </c>
      <c r="E2" s="5">
        <f>C2*D2</f>
        <v>12</v>
      </c>
    </row>
    <row r="3" spans="1:5" x14ac:dyDescent="0.25">
      <c r="A3" s="3">
        <v>46197</v>
      </c>
      <c r="B3" s="4" t="s">
        <v>6</v>
      </c>
      <c r="C3" s="4">
        <v>4</v>
      </c>
      <c r="D3" s="5">
        <v>35</v>
      </c>
      <c r="E3" s="5">
        <f>C3*D3</f>
        <v>140</v>
      </c>
    </row>
    <row r="4" spans="1:5" x14ac:dyDescent="0.25">
      <c r="A4" s="3">
        <v>46181</v>
      </c>
      <c r="B4" s="4" t="s">
        <v>7</v>
      </c>
      <c r="C4" s="4">
        <v>2</v>
      </c>
      <c r="D4" s="5">
        <v>6</v>
      </c>
      <c r="E4" s="5">
        <f t="shared" ref="E2:E31" si="0">C4*D4</f>
        <v>12</v>
      </c>
    </row>
    <row r="5" spans="1:5" x14ac:dyDescent="0.25">
      <c r="A5" s="3">
        <v>46195</v>
      </c>
      <c r="B5" s="4" t="s">
        <v>8</v>
      </c>
      <c r="C5" s="4">
        <v>9</v>
      </c>
      <c r="D5" s="5">
        <v>28</v>
      </c>
      <c r="E5" s="5">
        <f t="shared" si="0"/>
        <v>252</v>
      </c>
    </row>
    <row r="6" spans="1:5" x14ac:dyDescent="0.25">
      <c r="A6" s="3">
        <v>46176</v>
      </c>
      <c r="B6" s="4" t="s">
        <v>9</v>
      </c>
      <c r="C6" s="4">
        <v>7</v>
      </c>
      <c r="D6" s="5">
        <v>55</v>
      </c>
      <c r="E6" s="5">
        <f t="shared" si="0"/>
        <v>385</v>
      </c>
    </row>
    <row r="7" spans="1:5" x14ac:dyDescent="0.25">
      <c r="A7" s="3">
        <v>46175</v>
      </c>
      <c r="B7" s="4" t="s">
        <v>5</v>
      </c>
      <c r="C7" s="4">
        <v>2</v>
      </c>
      <c r="D7" s="5">
        <v>12</v>
      </c>
      <c r="E7" s="5">
        <f t="shared" si="0"/>
        <v>24</v>
      </c>
    </row>
    <row r="8" spans="1:5" x14ac:dyDescent="0.25">
      <c r="A8" s="3">
        <v>46180</v>
      </c>
      <c r="B8" s="4" t="s">
        <v>7</v>
      </c>
      <c r="C8" s="4">
        <v>9</v>
      </c>
      <c r="D8" s="5">
        <v>6</v>
      </c>
      <c r="E8" s="5">
        <f t="shared" si="0"/>
        <v>54</v>
      </c>
    </row>
    <row r="9" spans="1:5" x14ac:dyDescent="0.25">
      <c r="A9" s="3">
        <v>46193</v>
      </c>
      <c r="B9" s="4" t="s">
        <v>5</v>
      </c>
      <c r="C9" s="4">
        <v>9</v>
      </c>
      <c r="D9" s="5">
        <v>12</v>
      </c>
      <c r="E9" s="5">
        <f t="shared" si="0"/>
        <v>108</v>
      </c>
    </row>
    <row r="10" spans="1:5" x14ac:dyDescent="0.25">
      <c r="A10" s="3">
        <v>46180</v>
      </c>
      <c r="B10" s="4" t="s">
        <v>8</v>
      </c>
      <c r="C10" s="4">
        <v>9</v>
      </c>
      <c r="D10" s="5">
        <v>28</v>
      </c>
      <c r="E10" s="5">
        <f t="shared" si="0"/>
        <v>252</v>
      </c>
    </row>
    <row r="11" spans="1:5" x14ac:dyDescent="0.25">
      <c r="A11" s="3">
        <v>46187</v>
      </c>
      <c r="B11" s="4" t="s">
        <v>7</v>
      </c>
      <c r="C11" s="4">
        <v>8</v>
      </c>
      <c r="D11" s="5">
        <v>6</v>
      </c>
      <c r="E11" s="5">
        <f t="shared" si="0"/>
        <v>48</v>
      </c>
    </row>
    <row r="12" spans="1:5" x14ac:dyDescent="0.25">
      <c r="A12" s="3">
        <v>46192</v>
      </c>
      <c r="B12" s="4" t="s">
        <v>6</v>
      </c>
      <c r="C12" s="4">
        <v>1</v>
      </c>
      <c r="D12" s="5">
        <v>35</v>
      </c>
      <c r="E12" s="5">
        <f t="shared" si="0"/>
        <v>35</v>
      </c>
    </row>
    <row r="13" spans="1:5" x14ac:dyDescent="0.25">
      <c r="A13" s="3">
        <v>46198</v>
      </c>
      <c r="B13" s="4" t="s">
        <v>7</v>
      </c>
      <c r="C13" s="4">
        <v>7</v>
      </c>
      <c r="D13" s="5">
        <v>6</v>
      </c>
      <c r="E13" s="5">
        <f t="shared" si="0"/>
        <v>42</v>
      </c>
    </row>
    <row r="14" spans="1:5" x14ac:dyDescent="0.25">
      <c r="A14" s="3">
        <v>46184</v>
      </c>
      <c r="B14" s="4" t="s">
        <v>6</v>
      </c>
      <c r="C14" s="4">
        <v>3</v>
      </c>
      <c r="D14" s="5">
        <v>35</v>
      </c>
      <c r="E14" s="5">
        <f t="shared" si="0"/>
        <v>105</v>
      </c>
    </row>
    <row r="15" spans="1:5" x14ac:dyDescent="0.25">
      <c r="A15" s="3">
        <v>46180</v>
      </c>
      <c r="B15" s="4" t="s">
        <v>6</v>
      </c>
      <c r="C15" s="4">
        <v>2</v>
      </c>
      <c r="D15" s="5">
        <v>35</v>
      </c>
      <c r="E15" s="5">
        <f t="shared" si="0"/>
        <v>70</v>
      </c>
    </row>
    <row r="16" spans="1:5" x14ac:dyDescent="0.25">
      <c r="A16" s="3">
        <v>46176</v>
      </c>
      <c r="B16" s="4" t="s">
        <v>10</v>
      </c>
      <c r="C16" s="4">
        <v>2</v>
      </c>
      <c r="D16" s="5">
        <v>22</v>
      </c>
      <c r="E16" s="5">
        <f t="shared" si="0"/>
        <v>44</v>
      </c>
    </row>
    <row r="17" spans="1:5" x14ac:dyDescent="0.25">
      <c r="A17" s="3">
        <v>46185</v>
      </c>
      <c r="B17" s="4" t="s">
        <v>6</v>
      </c>
      <c r="C17" s="4">
        <v>10</v>
      </c>
      <c r="D17" s="5">
        <v>35</v>
      </c>
      <c r="E17" s="5">
        <f t="shared" si="0"/>
        <v>350</v>
      </c>
    </row>
    <row r="18" spans="1:5" x14ac:dyDescent="0.25">
      <c r="A18" s="3">
        <v>46182</v>
      </c>
      <c r="B18" s="4" t="s">
        <v>5</v>
      </c>
      <c r="C18" s="4">
        <v>8</v>
      </c>
      <c r="D18" s="5">
        <v>12</v>
      </c>
      <c r="E18" s="5">
        <f t="shared" si="0"/>
        <v>96</v>
      </c>
    </row>
    <row r="19" spans="1:5" x14ac:dyDescent="0.25">
      <c r="A19" s="3">
        <v>46191</v>
      </c>
      <c r="B19" s="4" t="s">
        <v>5</v>
      </c>
      <c r="C19" s="4">
        <v>7</v>
      </c>
      <c r="D19" s="5">
        <v>12</v>
      </c>
      <c r="E19" s="5">
        <f t="shared" si="0"/>
        <v>84</v>
      </c>
    </row>
    <row r="20" spans="1:5" x14ac:dyDescent="0.25">
      <c r="A20" s="3">
        <v>46176</v>
      </c>
      <c r="B20" s="4" t="s">
        <v>9</v>
      </c>
      <c r="C20" s="4">
        <v>5</v>
      </c>
      <c r="D20" s="5">
        <v>55</v>
      </c>
      <c r="E20" s="5">
        <f t="shared" si="0"/>
        <v>275</v>
      </c>
    </row>
    <row r="21" spans="1:5" x14ac:dyDescent="0.25">
      <c r="A21" s="3">
        <v>46200</v>
      </c>
      <c r="B21" s="4" t="s">
        <v>8</v>
      </c>
      <c r="C21" s="4">
        <v>10</v>
      </c>
      <c r="D21" s="5">
        <v>28</v>
      </c>
      <c r="E21" s="5">
        <f t="shared" si="0"/>
        <v>280</v>
      </c>
    </row>
    <row r="22" spans="1:5" x14ac:dyDescent="0.25">
      <c r="A22" s="3">
        <v>46202</v>
      </c>
      <c r="B22" s="4" t="s">
        <v>6</v>
      </c>
      <c r="C22" s="4">
        <v>10</v>
      </c>
      <c r="D22" s="5">
        <v>35</v>
      </c>
      <c r="E22" s="5">
        <f t="shared" si="0"/>
        <v>350</v>
      </c>
    </row>
    <row r="23" spans="1:5" x14ac:dyDescent="0.25">
      <c r="A23" s="3">
        <v>46180</v>
      </c>
      <c r="B23" s="4" t="s">
        <v>8</v>
      </c>
      <c r="C23" s="4">
        <v>2</v>
      </c>
      <c r="D23" s="5">
        <v>28</v>
      </c>
      <c r="E23" s="5">
        <f t="shared" si="0"/>
        <v>56</v>
      </c>
    </row>
    <row r="24" spans="1:5" x14ac:dyDescent="0.25">
      <c r="A24" s="3">
        <v>46175</v>
      </c>
      <c r="B24" s="4" t="s">
        <v>8</v>
      </c>
      <c r="C24" s="4">
        <v>4</v>
      </c>
      <c r="D24" s="5">
        <v>28</v>
      </c>
      <c r="E24" s="5">
        <f t="shared" si="0"/>
        <v>112</v>
      </c>
    </row>
    <row r="25" spans="1:5" x14ac:dyDescent="0.25">
      <c r="A25" s="3">
        <v>46198</v>
      </c>
      <c r="B25" s="4" t="s">
        <v>6</v>
      </c>
      <c r="C25" s="4">
        <v>2</v>
      </c>
      <c r="D25" s="5">
        <v>35</v>
      </c>
      <c r="E25" s="5">
        <f t="shared" si="0"/>
        <v>70</v>
      </c>
    </row>
    <row r="26" spans="1:5" x14ac:dyDescent="0.25">
      <c r="A26" s="3">
        <v>46201</v>
      </c>
      <c r="B26" s="4" t="s">
        <v>7</v>
      </c>
      <c r="C26" s="4">
        <v>2</v>
      </c>
      <c r="D26" s="5">
        <v>6</v>
      </c>
      <c r="E26" s="5">
        <f t="shared" si="0"/>
        <v>12</v>
      </c>
    </row>
    <row r="27" spans="1:5" x14ac:dyDescent="0.25">
      <c r="A27" s="3">
        <v>46186</v>
      </c>
      <c r="B27" s="4" t="s">
        <v>6</v>
      </c>
      <c r="C27" s="4">
        <v>8</v>
      </c>
      <c r="D27" s="5">
        <v>35</v>
      </c>
      <c r="E27" s="5">
        <f t="shared" si="0"/>
        <v>280</v>
      </c>
    </row>
    <row r="28" spans="1:5" x14ac:dyDescent="0.25">
      <c r="A28" s="3">
        <v>46194</v>
      </c>
      <c r="B28" s="4" t="s">
        <v>6</v>
      </c>
      <c r="C28" s="4">
        <v>3</v>
      </c>
      <c r="D28" s="5">
        <v>35</v>
      </c>
      <c r="E28" s="5">
        <f t="shared" si="0"/>
        <v>105</v>
      </c>
    </row>
    <row r="29" spans="1:5" x14ac:dyDescent="0.25">
      <c r="A29" s="3">
        <v>46185</v>
      </c>
      <c r="B29" s="4" t="s">
        <v>6</v>
      </c>
      <c r="C29" s="4">
        <v>4</v>
      </c>
      <c r="D29" s="5">
        <v>35</v>
      </c>
      <c r="E29" s="5">
        <f t="shared" si="0"/>
        <v>140</v>
      </c>
    </row>
    <row r="30" spans="1:5" x14ac:dyDescent="0.25">
      <c r="A30" s="3">
        <v>46195</v>
      </c>
      <c r="B30" s="4" t="s">
        <v>6</v>
      </c>
      <c r="C30" s="4">
        <v>2</v>
      </c>
      <c r="D30" s="5">
        <v>35</v>
      </c>
      <c r="E30" s="5">
        <f t="shared" si="0"/>
        <v>70</v>
      </c>
    </row>
    <row r="31" spans="1:5" x14ac:dyDescent="0.25">
      <c r="A31" s="3">
        <v>46193</v>
      </c>
      <c r="B31" s="4" t="s">
        <v>8</v>
      </c>
      <c r="C31" s="4">
        <v>3</v>
      </c>
      <c r="D31" s="5">
        <v>28</v>
      </c>
      <c r="E31" s="5">
        <f t="shared" si="0"/>
        <v>84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"/>
  <sheetViews>
    <sheetView tabSelected="1" zoomScaleNormal="100" workbookViewId="0">
      <selection activeCell="D19" activeCellId="13" sqref="A13 A14 A15 A16 A17 A18 A19 D13 D14 D15 D16 D17 D18 D19"/>
    </sheetView>
  </sheetViews>
  <sheetFormatPr defaultColWidth="8.7109375" defaultRowHeight="15" x14ac:dyDescent="0.25"/>
  <cols>
    <col min="1" max="1" width="22" customWidth="1"/>
    <col min="2" max="2" width="16" customWidth="1"/>
    <col min="3" max="3" width="14" customWidth="1"/>
    <col min="4" max="4" width="16" customWidth="1"/>
  </cols>
  <sheetData>
    <row r="1" spans="1:4" ht="18" x14ac:dyDescent="0.25">
      <c r="A1" s="1" t="s">
        <v>11</v>
      </c>
      <c r="B1" s="1"/>
    </row>
    <row r="3" spans="1:4" x14ac:dyDescent="0.25">
      <c r="A3" s="2" t="s">
        <v>12</v>
      </c>
      <c r="B3" s="2" t="s">
        <v>13</v>
      </c>
    </row>
    <row r="4" spans="1:4" x14ac:dyDescent="0.25">
      <c r="A4" s="4" t="s">
        <v>14</v>
      </c>
      <c r="B4" s="6">
        <f>COUNTA('Sales Entries'!A2:A31)</f>
        <v>30</v>
      </c>
    </row>
    <row r="5" spans="1:4" x14ac:dyDescent="0.25">
      <c r="A5" s="4" t="s">
        <v>15</v>
      </c>
      <c r="B5" s="6">
        <f>SUM('Sales Entries'!C2:C31)</f>
        <v>155</v>
      </c>
    </row>
    <row r="6" spans="1:4" x14ac:dyDescent="0.25">
      <c r="A6" s="4" t="s">
        <v>16</v>
      </c>
      <c r="B6" s="5">
        <f>SUM('Sales Entries'!E2:E31)</f>
        <v>3947</v>
      </c>
    </row>
    <row r="7" spans="1:4" x14ac:dyDescent="0.25">
      <c r="A7" s="4" t="s">
        <v>17</v>
      </c>
      <c r="B7" s="5">
        <f>AVERAGE('Sales Entries'!E2:E31)</f>
        <v>131.56666666666666</v>
      </c>
    </row>
    <row r="8" spans="1:4" x14ac:dyDescent="0.25">
      <c r="A8" s="4" t="s">
        <v>18</v>
      </c>
      <c r="B8" s="5">
        <f>MAX('Sales Entries'!E2:E31)</f>
        <v>385</v>
      </c>
    </row>
    <row r="11" spans="1:4" ht="15.75" x14ac:dyDescent="0.25">
      <c r="A11" s="7" t="s">
        <v>19</v>
      </c>
    </row>
    <row r="13" spans="1:4" x14ac:dyDescent="0.25">
      <c r="A13" s="2" t="s">
        <v>1</v>
      </c>
      <c r="B13" s="2" t="s">
        <v>20</v>
      </c>
      <c r="C13" s="2" t="s">
        <v>21</v>
      </c>
      <c r="D13" s="9" t="s">
        <v>22</v>
      </c>
    </row>
    <row r="14" spans="1:4" x14ac:dyDescent="0.25">
      <c r="A14" s="4" t="s">
        <v>5</v>
      </c>
      <c r="B14" s="4">
        <f>COUNTIF('Sales Entries'!B2:B31,A14)</f>
        <v>5</v>
      </c>
      <c r="C14" s="4">
        <f>SUMIF('Sales Entries'!B2:B31,A14,'Sales Entries'!C2:C31)</f>
        <v>27</v>
      </c>
      <c r="D14" s="5">
        <f>SUMIF('Sales Entries'!B2:B31,A14,'Sales Entries'!E2:E31)</f>
        <v>324</v>
      </c>
    </row>
    <row r="15" spans="1:4" x14ac:dyDescent="0.25">
      <c r="A15" s="4" t="s">
        <v>7</v>
      </c>
      <c r="B15" s="4">
        <f>COUNTIF('Sales Entries'!B2:B31,A15)</f>
        <v>5</v>
      </c>
      <c r="C15" s="4">
        <f>SUMIF('Sales Entries'!B2:B31,A15,'Sales Entries'!C2:C31)</f>
        <v>28</v>
      </c>
      <c r="D15" s="5">
        <f>SUMIF('Sales Entries'!B2:B31,A15,'Sales Entries'!E2:E31)</f>
        <v>168</v>
      </c>
    </row>
    <row r="16" spans="1:4" x14ac:dyDescent="0.25">
      <c r="A16" s="4" t="s">
        <v>6</v>
      </c>
      <c r="B16" s="4">
        <f>COUNTIF('Sales Entries'!B2:B31,A16)</f>
        <v>11</v>
      </c>
      <c r="C16" s="4">
        <f>SUMIF('Sales Entries'!B2:B31,A16,'Sales Entries'!C2:C31)</f>
        <v>49</v>
      </c>
      <c r="D16" s="5">
        <f>SUMIF('Sales Entries'!B2:B31,A16,'Sales Entries'!E2:E31)</f>
        <v>1715</v>
      </c>
    </row>
    <row r="17" spans="1:4" x14ac:dyDescent="0.25">
      <c r="A17" s="4" t="s">
        <v>10</v>
      </c>
      <c r="B17" s="4">
        <f>COUNTIF('Sales Entries'!B2:B31,A17)</f>
        <v>1</v>
      </c>
      <c r="C17" s="4">
        <f>SUMIF('Sales Entries'!B2:B31,A17,'Sales Entries'!C2:C31)</f>
        <v>2</v>
      </c>
      <c r="D17" s="5">
        <f>SUMIF('Sales Entries'!B2:B31,A17,'Sales Entries'!E2:E31)</f>
        <v>44</v>
      </c>
    </row>
    <row r="18" spans="1:4" x14ac:dyDescent="0.25">
      <c r="A18" s="4" t="s">
        <v>9</v>
      </c>
      <c r="B18" s="4">
        <f>COUNTIF('Sales Entries'!B2:B31,A18)</f>
        <v>2</v>
      </c>
      <c r="C18" s="4">
        <f>SUMIF('Sales Entries'!B2:B31,A18,'Sales Entries'!C2:C31)</f>
        <v>12</v>
      </c>
      <c r="D18" s="5">
        <f>SUMIF('Sales Entries'!B2:B31,A18,'Sales Entries'!E2:E31)</f>
        <v>660</v>
      </c>
    </row>
    <row r="19" spans="1:4" x14ac:dyDescent="0.25">
      <c r="A19" s="4" t="s">
        <v>8</v>
      </c>
      <c r="B19" s="4">
        <f>COUNTIF('Sales Entries'!B2:B31,A19)</f>
        <v>6</v>
      </c>
      <c r="C19" s="4">
        <f>SUMIF('Sales Entries'!B2:B31,A19,'Sales Entries'!C2:C31)</f>
        <v>37</v>
      </c>
      <c r="D19" s="5">
        <f>SUMIF('Sales Entries'!B2:B31,A19,'Sales Entries'!E2:E31)</f>
        <v>1036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Entries</vt:lpstr>
      <vt:lpstr>Monthly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Abdul Naafeh</cp:lastModifiedBy>
  <cp:revision>1</cp:revision>
  <dcterms:created xsi:type="dcterms:W3CDTF">2026-08-13T23:45:27Z</dcterms:created>
  <dcterms:modified xsi:type="dcterms:W3CDTF">2026-08-14T01:17:39Z</dcterms:modified>
  <dc:language>en-US</dc:language>
</cp:coreProperties>
</file>